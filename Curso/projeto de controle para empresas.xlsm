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fabri\OneDrive\Área de Trabalho\Projetos excel\Curso\"/>
    </mc:Choice>
  </mc:AlternateContent>
  <xr:revisionPtr revIDLastSave="0" documentId="13_ncr:1_{C0B7C30B-019A-4674-ADCC-CCDD58D49A2B}" xr6:coauthVersionLast="47" xr6:coauthVersionMax="47" xr10:uidLastSave="{00000000-0000-0000-0000-000000000000}"/>
  <bookViews>
    <workbookView xWindow="-108" yWindow="-108" windowWidth="23256" windowHeight="12576" xr2:uid="{7C0C6195-9EFA-4198-812B-9552337089EC}"/>
  </bookViews>
  <sheets>
    <sheet name="Compras" sheetId="1" r:id="rId1"/>
    <sheet name="Vendas" sheetId="2" r:id="rId2"/>
    <sheet name="Estoque" sheetId="3" r:id="rId3"/>
    <sheet name="Caixa" sheetId="4" r:id="rId4"/>
    <sheet name="DRE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5" l="1"/>
  <c r="C4" i="5"/>
  <c r="B4" i="5"/>
  <c r="B6" i="5" s="1"/>
  <c r="H2" i="2"/>
  <c r="B8" i="5" l="1"/>
  <c r="C6" i="5"/>
  <c r="B10" i="5" l="1"/>
  <c r="C10" i="5" s="1"/>
  <c r="C8" i="5"/>
</calcChain>
</file>

<file path=xl/sharedStrings.xml><?xml version="1.0" encoding="utf-8"?>
<sst xmlns="http://schemas.openxmlformats.org/spreadsheetml/2006/main" count="58" uniqueCount="40">
  <si>
    <t>ID-M</t>
  </si>
  <si>
    <t>Data de Pagamento</t>
  </si>
  <si>
    <t>Data de Competência</t>
  </si>
  <si>
    <t>Fornecedor</t>
  </si>
  <si>
    <t>Produto</t>
  </si>
  <si>
    <t>Quantidade</t>
  </si>
  <si>
    <t>Custo Total</t>
  </si>
  <si>
    <t>Fornecedor1</t>
  </si>
  <si>
    <t>produto1</t>
  </si>
  <si>
    <t>Cliente</t>
  </si>
  <si>
    <t>Valor da Venda</t>
  </si>
  <si>
    <t>Custo Unitário</t>
  </si>
  <si>
    <t>Custo da venda</t>
  </si>
  <si>
    <t xml:space="preserve">Compra </t>
  </si>
  <si>
    <t xml:space="preserve">Vendas </t>
  </si>
  <si>
    <t>Estoque</t>
  </si>
  <si>
    <t xml:space="preserve">Produto 1 </t>
  </si>
  <si>
    <t>Descrição</t>
  </si>
  <si>
    <t>Tipo</t>
  </si>
  <si>
    <t>Conta</t>
  </si>
  <si>
    <t>Valor</t>
  </si>
  <si>
    <t>Status</t>
  </si>
  <si>
    <t>Compra</t>
  </si>
  <si>
    <t>Banco1</t>
  </si>
  <si>
    <t>Pago</t>
  </si>
  <si>
    <t>Produto 1</t>
  </si>
  <si>
    <t>Venda</t>
  </si>
  <si>
    <t>Ano</t>
  </si>
  <si>
    <t>Receita Bruta</t>
  </si>
  <si>
    <t>Resultado Bruto</t>
  </si>
  <si>
    <t>(-) Dedução da Receita</t>
  </si>
  <si>
    <t>(-) CMV</t>
  </si>
  <si>
    <t>(-) Despesas Operacionais</t>
  </si>
  <si>
    <t>Resultado antes do I.R.</t>
  </si>
  <si>
    <t>(-) I.R.</t>
  </si>
  <si>
    <t xml:space="preserve">Resultado Líquido </t>
  </si>
  <si>
    <t>%</t>
  </si>
  <si>
    <t>Receita Líquida</t>
  </si>
  <si>
    <t>Conta de luz</t>
  </si>
  <si>
    <t>Despesa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</si>
</sst>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14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164" fontId="1" fillId="2" borderId="1" xfId="0" applyNumberFormat="1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1" xfId="0" applyNumberFormat="1" applyBorder="1"/>
    <xf numFmtId="1" fontId="0" fillId="0" borderId="1" xfId="0" applyNumberFormat="1" applyBorder="1"/>
    <xf numFmtId="0" fontId="0" fillId="0" borderId="0" xfId="0" applyBorder="1" applyAlignment="1">
      <alignment horizontal="center"/>
    </xf>
    <xf numFmtId="14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0" xfId="0" applyBorder="1"/>
    <xf numFmtId="1" fontId="0" fillId="0" borderId="0" xfId="0" applyNumberFormat="1" applyBorder="1"/>
    <xf numFmtId="0" fontId="1" fillId="3" borderId="1" xfId="0" applyFont="1" applyFill="1" applyBorder="1"/>
    <xf numFmtId="164" fontId="1" fillId="3" borderId="1" xfId="0" applyNumberFormat="1" applyFont="1" applyFill="1" applyBorder="1"/>
    <xf numFmtId="10" fontId="1" fillId="3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DA591-2DC9-46AB-B743-72628000F8EE}">
  <sheetPr codeName="Planilha1"/>
  <dimension ref="A1:G3"/>
  <sheetViews>
    <sheetView showGridLines="0" tabSelected="1" zoomScale="145" zoomScaleNormal="145" workbookViewId="0">
      <selection activeCell="B8" sqref="B8"/>
    </sheetView>
  </sheetViews>
  <sheetFormatPr defaultRowHeight="14.4" x14ac:dyDescent="0.3"/>
  <cols>
    <col min="1" max="1" width="5.21875" style="5" bestFit="1" customWidth="1"/>
    <col min="2" max="2" width="17.77734375" style="7" bestFit="1" customWidth="1"/>
    <col min="3" max="3" width="19.33203125" style="7" bestFit="1" customWidth="1"/>
    <col min="4" max="4" width="11.33203125" style="5" bestFit="1" customWidth="1"/>
    <col min="5" max="5" width="8.6640625" style="5" bestFit="1" customWidth="1"/>
    <col min="6" max="6" width="10.88671875" style="10" bestFit="1" customWidth="1"/>
    <col min="7" max="7" width="12.109375" style="13" bestFit="1" customWidth="1"/>
  </cols>
  <sheetData>
    <row r="1" spans="1:7" x14ac:dyDescent="0.3">
      <c r="A1" s="2" t="s">
        <v>0</v>
      </c>
      <c r="B1" s="6" t="s">
        <v>1</v>
      </c>
      <c r="C1" s="6" t="s">
        <v>2</v>
      </c>
      <c r="D1" s="2" t="s">
        <v>3</v>
      </c>
      <c r="E1" s="2" t="s">
        <v>4</v>
      </c>
      <c r="F1" s="8" t="s">
        <v>5</v>
      </c>
      <c r="G1" s="11" t="s">
        <v>6</v>
      </c>
    </row>
    <row r="2" spans="1:7" x14ac:dyDescent="0.3">
      <c r="A2" s="3">
        <v>1</v>
      </c>
      <c r="B2" s="4">
        <v>44571</v>
      </c>
      <c r="C2" s="4">
        <v>44571</v>
      </c>
      <c r="D2" s="3" t="s">
        <v>7</v>
      </c>
      <c r="E2" s="3" t="s">
        <v>8</v>
      </c>
      <c r="F2" s="9">
        <v>500</v>
      </c>
      <c r="G2" s="12">
        <v>15676.54</v>
      </c>
    </row>
    <row r="3" spans="1:7" x14ac:dyDescent="0.3">
      <c r="A3" s="3">
        <v>1</v>
      </c>
      <c r="B3" s="4">
        <v>44571</v>
      </c>
      <c r="C3" s="4">
        <v>44571</v>
      </c>
      <c r="D3" s="3" t="s">
        <v>7</v>
      </c>
      <c r="E3" s="3" t="s">
        <v>8</v>
      </c>
      <c r="F3" s="9">
        <v>500</v>
      </c>
      <c r="G3" s="12">
        <v>15676.54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33CB1-F3B1-4F81-A643-02DCDF93268A}">
  <sheetPr codeName="Planilha2"/>
  <dimension ref="A1:I2"/>
  <sheetViews>
    <sheetView showGridLines="0" zoomScale="145" zoomScaleNormal="145" workbookViewId="0">
      <selection activeCell="B3" sqref="B3"/>
    </sheetView>
  </sheetViews>
  <sheetFormatPr defaultRowHeight="14.4" x14ac:dyDescent="0.3"/>
  <cols>
    <col min="1" max="1" width="5.21875" style="17" bestFit="1" customWidth="1"/>
    <col min="2" max="2" width="17.77734375" style="18" bestFit="1" customWidth="1"/>
    <col min="3" max="3" width="19.33203125" style="18" bestFit="1" customWidth="1"/>
    <col min="4" max="4" width="11.33203125" style="17" bestFit="1" customWidth="1"/>
    <col min="5" max="5" width="8.6640625" style="17" bestFit="1" customWidth="1"/>
    <col min="6" max="6" width="10.88671875" style="19" bestFit="1" customWidth="1"/>
    <col min="7" max="7" width="14" style="20" bestFit="1" customWidth="1"/>
    <col min="8" max="8" width="13.109375" style="21" bestFit="1" customWidth="1"/>
    <col min="9" max="9" width="14.109375" style="21" bestFit="1" customWidth="1"/>
    <col min="10" max="16384" width="8.88671875" style="21"/>
  </cols>
  <sheetData>
    <row r="1" spans="1:9" customFormat="1" x14ac:dyDescent="0.3">
      <c r="A1" s="2" t="s">
        <v>0</v>
      </c>
      <c r="B1" s="6" t="s">
        <v>1</v>
      </c>
      <c r="C1" s="6" t="s">
        <v>2</v>
      </c>
      <c r="D1" s="2" t="s">
        <v>9</v>
      </c>
      <c r="E1" s="2" t="s">
        <v>4</v>
      </c>
      <c r="F1" s="8" t="s">
        <v>5</v>
      </c>
      <c r="G1" s="11" t="s">
        <v>10</v>
      </c>
      <c r="H1" s="11" t="s">
        <v>11</v>
      </c>
      <c r="I1" s="11" t="s">
        <v>12</v>
      </c>
    </row>
    <row r="2" spans="1:9" customFormat="1" x14ac:dyDescent="0.3">
      <c r="A2" s="3">
        <v>2</v>
      </c>
      <c r="B2" s="4">
        <v>44936</v>
      </c>
      <c r="C2" s="4">
        <v>44936</v>
      </c>
      <c r="D2" s="3" t="s">
        <v>7</v>
      </c>
      <c r="E2" s="3" t="s">
        <v>8</v>
      </c>
      <c r="F2" s="9">
        <v>500</v>
      </c>
      <c r="G2" s="12">
        <v>25654</v>
      </c>
      <c r="H2" s="15">
        <f>G2/F2</f>
        <v>51.308</v>
      </c>
      <c r="I2" s="1">
        <v>15676.54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22AC5-4ABB-45A0-9E59-66C8399C2458}">
  <sheetPr codeName="Planilha3"/>
  <dimension ref="A1:D2"/>
  <sheetViews>
    <sheetView showGridLines="0" zoomScale="205" zoomScaleNormal="205" workbookViewId="0">
      <selection activeCell="B13" sqref="B13"/>
    </sheetView>
  </sheetViews>
  <sheetFormatPr defaultRowHeight="14.4" x14ac:dyDescent="0.3"/>
  <cols>
    <col min="1" max="1" width="9.6640625" style="21" bestFit="1" customWidth="1"/>
    <col min="2" max="4" width="8.88671875" style="22"/>
    <col min="5" max="16384" width="8.88671875" style="21"/>
  </cols>
  <sheetData>
    <row r="1" spans="1:4" customFormat="1" x14ac:dyDescent="0.3">
      <c r="A1" s="2" t="s">
        <v>4</v>
      </c>
      <c r="B1" s="8" t="s">
        <v>13</v>
      </c>
      <c r="C1" s="8" t="s">
        <v>14</v>
      </c>
      <c r="D1" s="8" t="s">
        <v>15</v>
      </c>
    </row>
    <row r="2" spans="1:4" customFormat="1" x14ac:dyDescent="0.3">
      <c r="A2" s="1" t="s">
        <v>16</v>
      </c>
      <c r="B2" s="16">
        <v>500</v>
      </c>
      <c r="C2" s="16">
        <v>500</v>
      </c>
      <c r="D2" s="16">
        <v>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376BA-FB44-409A-A81E-6F9E927878C2}">
  <sheetPr codeName="Planilha4"/>
  <dimension ref="A1:H4"/>
  <sheetViews>
    <sheetView zoomScale="145" zoomScaleNormal="145" workbookViewId="0">
      <selection activeCell="B3" sqref="B3"/>
    </sheetView>
  </sheetViews>
  <sheetFormatPr defaultRowHeight="14.4" x14ac:dyDescent="0.3"/>
  <cols>
    <col min="1" max="1" width="5.21875" style="17" bestFit="1" customWidth="1"/>
    <col min="2" max="2" width="17.77734375" style="18" bestFit="1" customWidth="1"/>
    <col min="3" max="3" width="19.21875" style="18" bestFit="1" customWidth="1"/>
    <col min="4" max="4" width="11.33203125" style="17" bestFit="1" customWidth="1"/>
    <col min="5" max="5" width="8.5546875" style="17" bestFit="1" customWidth="1"/>
    <col min="6" max="6" width="10.88671875" style="19" bestFit="1" customWidth="1"/>
    <col min="7" max="7" width="14" style="20" bestFit="1" customWidth="1"/>
    <col min="8" max="8" width="9.5546875" style="17" customWidth="1"/>
    <col min="9" max="16384" width="8.88671875" style="21"/>
  </cols>
  <sheetData>
    <row r="1" spans="1:8" customFormat="1" x14ac:dyDescent="0.3">
      <c r="A1" s="2" t="s">
        <v>0</v>
      </c>
      <c r="B1" s="6" t="s">
        <v>1</v>
      </c>
      <c r="C1" s="6" t="s">
        <v>2</v>
      </c>
      <c r="D1" s="2" t="s">
        <v>17</v>
      </c>
      <c r="E1" s="2" t="s">
        <v>18</v>
      </c>
      <c r="F1" s="8" t="s">
        <v>19</v>
      </c>
      <c r="G1" s="11" t="s">
        <v>20</v>
      </c>
      <c r="H1" s="11" t="s">
        <v>21</v>
      </c>
    </row>
    <row r="2" spans="1:8" customFormat="1" x14ac:dyDescent="0.3">
      <c r="A2" s="3">
        <v>1</v>
      </c>
      <c r="B2" s="4">
        <v>44571</v>
      </c>
      <c r="C2" s="4">
        <v>44571</v>
      </c>
      <c r="D2" s="3" t="s">
        <v>25</v>
      </c>
      <c r="E2" s="3" t="s">
        <v>22</v>
      </c>
      <c r="F2" s="9" t="s">
        <v>23</v>
      </c>
      <c r="G2" s="12">
        <v>-15676.54</v>
      </c>
      <c r="H2" s="12" t="s">
        <v>24</v>
      </c>
    </row>
    <row r="3" spans="1:8" customFormat="1" x14ac:dyDescent="0.3">
      <c r="A3" s="3">
        <v>2</v>
      </c>
      <c r="B3" s="4">
        <v>44571</v>
      </c>
      <c r="C3" s="4">
        <v>44571</v>
      </c>
      <c r="D3" s="3" t="s">
        <v>25</v>
      </c>
      <c r="E3" s="3" t="s">
        <v>26</v>
      </c>
      <c r="F3" s="9" t="s">
        <v>23</v>
      </c>
      <c r="G3" s="12">
        <v>25654</v>
      </c>
      <c r="H3" s="12" t="s">
        <v>24</v>
      </c>
    </row>
    <row r="4" spans="1:8" x14ac:dyDescent="0.3">
      <c r="A4" s="3">
        <v>3</v>
      </c>
      <c r="B4" s="4">
        <v>44571</v>
      </c>
      <c r="C4" s="4">
        <v>44571</v>
      </c>
      <c r="D4" s="3" t="s">
        <v>38</v>
      </c>
      <c r="E4" s="3" t="s">
        <v>39</v>
      </c>
      <c r="F4" s="9" t="s">
        <v>23</v>
      </c>
      <c r="G4" s="12">
        <v>-100</v>
      </c>
      <c r="H4" s="3" t="s">
        <v>24</v>
      </c>
    </row>
  </sheetData>
  <phoneticPr fontId="2" type="noConversion"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C077D-C4CD-49FF-89AD-AF868CC704A6}">
  <sheetPr codeName="Planilha5"/>
  <dimension ref="A1:C10"/>
  <sheetViews>
    <sheetView zoomScale="205" zoomScaleNormal="205" workbookViewId="0">
      <selection activeCell="A13" sqref="A13"/>
    </sheetView>
  </sheetViews>
  <sheetFormatPr defaultRowHeight="14.4" x14ac:dyDescent="0.3"/>
  <cols>
    <col min="1" max="1" width="22.5546875" bestFit="1" customWidth="1"/>
    <col min="2" max="2" width="11.6640625" style="14" bestFit="1" customWidth="1"/>
    <col min="3" max="3" width="13.6640625" customWidth="1"/>
  </cols>
  <sheetData>
    <row r="1" spans="1:3" x14ac:dyDescent="0.3">
      <c r="A1" s="2" t="s">
        <v>27</v>
      </c>
      <c r="B1" s="11">
        <v>2021</v>
      </c>
      <c r="C1" s="2" t="s">
        <v>36</v>
      </c>
    </row>
    <row r="2" spans="1:3" x14ac:dyDescent="0.3">
      <c r="A2" s="1" t="s">
        <v>28</v>
      </c>
      <c r="B2" s="12">
        <v>25654</v>
      </c>
      <c r="C2" s="1"/>
    </row>
    <row r="3" spans="1:3" x14ac:dyDescent="0.3">
      <c r="A3" s="1" t="s">
        <v>30</v>
      </c>
      <c r="B3" s="15">
        <v>0</v>
      </c>
      <c r="C3" s="1"/>
    </row>
    <row r="4" spans="1:3" x14ac:dyDescent="0.3">
      <c r="A4" s="23" t="s">
        <v>37</v>
      </c>
      <c r="B4" s="24">
        <f>B2-B3</f>
        <v>25654</v>
      </c>
      <c r="C4" s="25">
        <f>B4/B2</f>
        <v>1</v>
      </c>
    </row>
    <row r="5" spans="1:3" x14ac:dyDescent="0.3">
      <c r="A5" s="1" t="s">
        <v>31</v>
      </c>
      <c r="B5" s="12">
        <v>15676.54</v>
      </c>
      <c r="C5" s="1"/>
    </row>
    <row r="6" spans="1:3" x14ac:dyDescent="0.3">
      <c r="A6" s="23" t="s">
        <v>29</v>
      </c>
      <c r="B6" s="24">
        <f>B4-B5</f>
        <v>9977.4599999999991</v>
      </c>
      <c r="C6" s="25">
        <f>B6/B2</f>
        <v>0.38892414438294221</v>
      </c>
    </row>
    <row r="7" spans="1:3" x14ac:dyDescent="0.3">
      <c r="A7" s="1" t="s">
        <v>32</v>
      </c>
      <c r="B7" s="15">
        <v>100</v>
      </c>
      <c r="C7" s="1"/>
    </row>
    <row r="8" spans="1:3" x14ac:dyDescent="0.3">
      <c r="A8" s="23" t="s">
        <v>33</v>
      </c>
      <c r="B8" s="24">
        <f>B6-B7</f>
        <v>9877.4599999999991</v>
      </c>
      <c r="C8" s="25">
        <f>B8/B2</f>
        <v>0.38502611678490678</v>
      </c>
    </row>
    <row r="9" spans="1:3" x14ac:dyDescent="0.3">
      <c r="A9" s="1" t="s">
        <v>34</v>
      </c>
      <c r="B9" s="15">
        <f>B2*0.06</f>
        <v>1539.24</v>
      </c>
      <c r="C9" s="1"/>
    </row>
    <row r="10" spans="1:3" x14ac:dyDescent="0.3">
      <c r="A10" s="23" t="s">
        <v>35</v>
      </c>
      <c r="B10" s="24">
        <f>B8-B9</f>
        <v>8338.2199999999993</v>
      </c>
      <c r="C10" s="25">
        <f>B10/B2</f>
        <v>0.32502611678490684</v>
      </c>
    </row>
  </sheetData>
  <pageMargins left="0.511811024" right="0.511811024" top="0.78740157499999996" bottom="0.78740157499999996" header="0.31496062000000002" footer="0.31496062000000002"/>
  <ignoredErrors>
    <ignoredError sqref="B9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Compras</vt:lpstr>
      <vt:lpstr>Vendas</vt:lpstr>
      <vt:lpstr>Estoque</vt:lpstr>
      <vt:lpstr>Caixa</vt:lpstr>
      <vt:lpstr>DRE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fabricio dalvi</dc:creator>
  <cp:lastModifiedBy>fabricio dalvi</cp:lastModifiedBy>
  <dcterms:created xsi:type="dcterms:W3CDTF">2022-01-10T20:15:25Z</dcterms:created>
  <dcterms:modified xsi:type="dcterms:W3CDTF">2022-01-24T19:42:26Z</dcterms:modified>
</cp:coreProperties>
</file>